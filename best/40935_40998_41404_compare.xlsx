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ude\mota-web-explorer\best\"/>
    </mc:Choice>
  </mc:AlternateContent>
  <xr:revisionPtr revIDLastSave="0" documentId="13_ncr:1_{2427EC03-BC8E-4E3C-A1FC-F30728CF94CD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整体对比" sheetId="1" r:id="rId1"/>
    <sheet name="逐层差异" sheetId="2" r:id="rId2"/>
  </sheets>
  <calcPr calcId="191029"/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3" i="2"/>
</calcChain>
</file>

<file path=xl/sharedStrings.xml><?xml version="1.0" encoding="utf-8"?>
<sst xmlns="http://schemas.openxmlformats.org/spreadsheetml/2006/main" count="155" uniqueCount="87">
  <si>
    <t>指标</t>
  </si>
  <si>
    <t>40935</t>
  </si>
  <si>
    <t>40998</t>
  </si>
  <si>
    <t>41404</t>
  </si>
  <si>
    <t>终态HP</t>
  </si>
  <si>
    <t>终态ATK</t>
  </si>
  <si>
    <t>终态DEF</t>
  </si>
  <si>
    <t>终态dmg</t>
  </si>
  <si>
    <t>终态金币</t>
  </si>
  <si>
    <t>终态楼层</t>
  </si>
  <si>
    <t>MT45</t>
  </si>
  <si>
    <t>MT3</t>
  </si>
  <si>
    <t>dmg合计</t>
  </si>
  <si>
    <t>拾取血量(=HP-起点+dmg)</t>
  </si>
  <si>
    <t>圣水恢复HP(superPotion)</t>
  </si>
  <si>
    <t>药瓶恢复HP(红+蓝)</t>
  </si>
  <si>
    <t>金币获得合计</t>
  </si>
  <si>
    <t>黄门开门</t>
  </si>
  <si>
    <t>蓝门开门</t>
  </si>
  <si>
    <t>红门开门</t>
  </si>
  <si>
    <t>剩余怪金(静态未杀+事件怪)</t>
  </si>
  <si>
    <t>checkpoint（均为首次进入该层的到达快照 before；同字段各线相邻便于对比）</t>
  </si>
  <si>
    <t>层</t>
  </si>
  <si>
    <t>到达HP</t>
  </si>
  <si>
    <t/>
  </si>
  <si>
    <t>到达DEF</t>
  </si>
  <si>
    <t>到达dmg</t>
  </si>
  <si>
    <t>到达yk</t>
  </si>
  <si>
    <t>到达bk</t>
  </si>
  <si>
    <t>到达金币</t>
  </si>
  <si>
    <t>MT11</t>
  </si>
  <si>
    <t>MT21</t>
  </si>
  <si>
    <t>MT41</t>
  </si>
  <si>
    <t>不买800族:40935=4区7防(z5防6);40998=4区8防(z5防5,def-4);41404=买800rk+41飞(4区7防,z5防6);三线均止于MT45圣水收尾(won50=false)</t>
  </si>
  <si>
    <t>40998=40935+63;41404领先族469;任务=在不买800约束下继续提HP</t>
  </si>
  <si>
    <t>逐层差异 —— 每线列序: dmg | 黄门 | 蓝门 | 红门 | 金币 —— 40935/40998/41404</t>
  </si>
  <si>
    <t>楼层</t>
  </si>
  <si>
    <t>40935 dmg</t>
  </si>
  <si>
    <t>40998 dmg</t>
  </si>
  <si>
    <t>41404 dmg</t>
  </si>
  <si>
    <t>40935 黄门</t>
  </si>
  <si>
    <t>40998 黄门</t>
  </si>
  <si>
    <t>41404 黄门</t>
  </si>
  <si>
    <t>40935 蓝门</t>
  </si>
  <si>
    <t>40998 蓝门</t>
  </si>
  <si>
    <t>41404 蓝门</t>
  </si>
  <si>
    <t>40935 红门</t>
  </si>
  <si>
    <t>40998 红门</t>
  </si>
  <si>
    <t>41404 红门</t>
  </si>
  <si>
    <t>40935 金币</t>
  </si>
  <si>
    <t>40998 金币</t>
  </si>
  <si>
    <t>41404 金币</t>
  </si>
  <si>
    <t>门坐标差异</t>
  </si>
  <si>
    <t>击杀差异</t>
  </si>
  <si>
    <t>黄门 40998独有:(9,2)</t>
  </si>
  <si>
    <t>40998独杀:(10,2)bat</t>
  </si>
  <si>
    <t>MT6</t>
  </si>
  <si>
    <t>-</t>
  </si>
  <si>
    <t>MT7</t>
  </si>
  <si>
    <t>MT8</t>
  </si>
  <si>
    <t>黄门[40935:(1,3)、(1,9)、(3,1)、(4,1)、(6,3)、(9,11)、(10,7)、(11,9) vs 40998:(1,3)、(1,9)、(3,1)、(4,1)、(6,3)、(9,11)、(10,7)、(11,9) vs 41404:(1,9)、(3,1)、(4,1)、(6,3)、(9,11)、(10,7)、(11,9)]</t>
  </si>
  <si>
    <t>黄门[40935:(5,9)、(7,1)、(7,7)、(9,3)、(9,10) vs 40998:(5,9)、(7,1)、(7,7)、(9,3)、(9,10) vs 41404:(5,9)、(7,1)、(9,3)、(9,10)]</t>
  </si>
  <si>
    <t>MT12</t>
  </si>
  <si>
    <t>黄门 41404独有:(1,4)、(4,5)</t>
  </si>
  <si>
    <t>41404独杀:(2,5)redPriest、(3,2)bigBat</t>
  </si>
  <si>
    <t>MT14</t>
  </si>
  <si>
    <t>MT15</t>
  </si>
  <si>
    <t>黄门[40935:(1,4)、(2,9)、(4,1)、(8,11)、(9,6)、(9,9)、(11,3) vs 40998:(1,4)、(2,9)、(4,1)、(8,11)、(9,6)、(9,9)、(11,3) vs 41404:(1,4)、(4,1)、(8,11)、(9,6)、(9,9)、(11,3)]</t>
  </si>
  <si>
    <t>MT16</t>
  </si>
  <si>
    <t>黄门 40935独有:(10,4)</t>
  </si>
  <si>
    <t>MT20</t>
  </si>
  <si>
    <t>MT28</t>
  </si>
  <si>
    <t>MT31</t>
  </si>
  <si>
    <t>MT32</t>
  </si>
  <si>
    <t>MT33</t>
  </si>
  <si>
    <t>黄门 40935独有:(6,11)、(7,6)</t>
  </si>
  <si>
    <t>MT34</t>
  </si>
  <si>
    <t>黄门[40935:(2,4)、(2,8)、(4,2)、(4,10)、(5,5)、(5,7)、(7,5)、(7,7)、(8,2)、(8,10)、(9,5)、(9,7)、(11,5)、(11,7) vs 40998:(2,4)、(2,8)、(4,2)、(4,10)、(5,5)、(5,7)、(7,5)、(7,7)、(8,2)、(8,10)、(9,5)、(9,7)、(11,5)、(11,7) vs 41404:(2,4)、(2,8)、(4,2)、(4,10)、(8,2)、(8,10)]</t>
  </si>
  <si>
    <t>MT35</t>
  </si>
  <si>
    <t>MT36</t>
  </si>
  <si>
    <t>MT37</t>
  </si>
  <si>
    <t>MT38</t>
  </si>
  <si>
    <t>MT40</t>
  </si>
  <si>
    <t>MT42</t>
  </si>
  <si>
    <t>黄门 41404独有:(3,3)</t>
  </si>
  <si>
    <t>MT46</t>
  </si>
  <si>
    <t>差异层合计(非全线总伤, 全线总伤见整体对比)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</si>
</sst>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40935</v>
      </c>
      <c r="C2">
        <v>40998</v>
      </c>
      <c r="D2">
        <v>41404</v>
      </c>
    </row>
    <row r="3" spans="1:4" x14ac:dyDescent="0.25">
      <c r="A3" t="s">
        <v>5</v>
      </c>
      <c r="B3">
        <v>374</v>
      </c>
      <c r="C3">
        <v>374</v>
      </c>
      <c r="D3">
        <v>374</v>
      </c>
    </row>
    <row r="4" spans="1:4" x14ac:dyDescent="0.25">
      <c r="A4" t="s">
        <v>6</v>
      </c>
      <c r="B4">
        <v>611</v>
      </c>
      <c r="C4">
        <v>607</v>
      </c>
      <c r="D4">
        <v>611</v>
      </c>
    </row>
    <row r="5" spans="1:4" x14ac:dyDescent="0.25">
      <c r="A5" t="s">
        <v>7</v>
      </c>
      <c r="B5">
        <v>14005</v>
      </c>
      <c r="C5">
        <v>13962</v>
      </c>
      <c r="D5">
        <v>13286</v>
      </c>
    </row>
    <row r="6" spans="1:4" x14ac:dyDescent="0.25">
      <c r="A6" t="s">
        <v>8</v>
      </c>
      <c r="B6">
        <v>154</v>
      </c>
      <c r="C6">
        <v>257</v>
      </c>
      <c r="D6">
        <v>119</v>
      </c>
    </row>
    <row r="7" spans="1:4" x14ac:dyDescent="0.25">
      <c r="A7" t="s">
        <v>9</v>
      </c>
      <c r="B7" t="s">
        <v>10</v>
      </c>
      <c r="C7" t="s">
        <v>11</v>
      </c>
      <c r="D7" t="s">
        <v>10</v>
      </c>
    </row>
    <row r="8" spans="1:4" x14ac:dyDescent="0.25">
      <c r="A8" t="s">
        <v>12</v>
      </c>
      <c r="B8">
        <v>14005</v>
      </c>
      <c r="C8">
        <v>13962</v>
      </c>
      <c r="D8">
        <v>13286</v>
      </c>
    </row>
    <row r="9" spans="1:4" x14ac:dyDescent="0.25">
      <c r="A9" t="s">
        <v>13</v>
      </c>
      <c r="B9">
        <v>53940</v>
      </c>
      <c r="C9">
        <v>53960</v>
      </c>
      <c r="D9">
        <v>53690</v>
      </c>
    </row>
    <row r="10" spans="1:4" x14ac:dyDescent="0.25">
      <c r="A10" t="s">
        <v>14</v>
      </c>
      <c r="B10">
        <v>7290</v>
      </c>
      <c r="C10">
        <v>7260</v>
      </c>
      <c r="D10">
        <v>7290</v>
      </c>
    </row>
    <row r="11" spans="1:4" x14ac:dyDescent="0.25">
      <c r="A11" t="s">
        <v>15</v>
      </c>
      <c r="B11">
        <v>45050</v>
      </c>
      <c r="C11">
        <v>45100</v>
      </c>
      <c r="D11">
        <v>44800</v>
      </c>
    </row>
    <row r="12" spans="1:4" x14ac:dyDescent="0.25">
      <c r="A12" t="s">
        <v>16</v>
      </c>
      <c r="B12">
        <v>19574</v>
      </c>
      <c r="C12">
        <v>19677</v>
      </c>
      <c r="D12">
        <v>20339</v>
      </c>
    </row>
    <row r="13" spans="1:4" x14ac:dyDescent="0.25">
      <c r="A13" t="s">
        <v>17</v>
      </c>
      <c r="B13">
        <v>185</v>
      </c>
      <c r="C13">
        <v>184</v>
      </c>
      <c r="D13">
        <v>171</v>
      </c>
    </row>
    <row r="14" spans="1:4" x14ac:dyDescent="0.25">
      <c r="A14" t="s">
        <v>18</v>
      </c>
      <c r="B14">
        <v>22</v>
      </c>
      <c r="C14">
        <v>22</v>
      </c>
      <c r="D14">
        <v>22</v>
      </c>
    </row>
    <row r="15" spans="1:4" x14ac:dyDescent="0.25">
      <c r="A15" t="s">
        <v>19</v>
      </c>
      <c r="B15">
        <v>10</v>
      </c>
      <c r="C15">
        <v>10</v>
      </c>
      <c r="D15">
        <v>10</v>
      </c>
    </row>
    <row r="16" spans="1:4" x14ac:dyDescent="0.25">
      <c r="A16" t="s">
        <v>20</v>
      </c>
      <c r="B16">
        <v>571</v>
      </c>
      <c r="C16">
        <v>568</v>
      </c>
      <c r="D16">
        <v>806</v>
      </c>
    </row>
    <row r="18" spans="1:19" x14ac:dyDescent="0.25">
      <c r="A18" t="s">
        <v>21</v>
      </c>
    </row>
    <row r="19" spans="1:19" x14ac:dyDescent="0.25">
      <c r="A19" t="s">
        <v>22</v>
      </c>
      <c r="B19" t="s">
        <v>23</v>
      </c>
      <c r="C19" t="s">
        <v>24</v>
      </c>
      <c r="D19" t="s">
        <v>24</v>
      </c>
      <c r="E19" t="s">
        <v>25</v>
      </c>
      <c r="F19" t="s">
        <v>24</v>
      </c>
      <c r="G19" t="s">
        <v>24</v>
      </c>
      <c r="H19" t="s">
        <v>26</v>
      </c>
      <c r="I19" t="s">
        <v>24</v>
      </c>
      <c r="J19" t="s">
        <v>24</v>
      </c>
      <c r="K19" t="s">
        <v>27</v>
      </c>
      <c r="L19" t="s">
        <v>24</v>
      </c>
      <c r="M19" t="s">
        <v>24</v>
      </c>
      <c r="N19" t="s">
        <v>28</v>
      </c>
      <c r="O19" t="s">
        <v>24</v>
      </c>
      <c r="P19" t="s">
        <v>24</v>
      </c>
      <c r="Q19" t="s">
        <v>29</v>
      </c>
      <c r="R19" t="s">
        <v>24</v>
      </c>
      <c r="S19" t="s">
        <v>24</v>
      </c>
    </row>
    <row r="20" spans="1:19" x14ac:dyDescent="0.25">
      <c r="A20" t="s">
        <v>22</v>
      </c>
      <c r="B20" t="s">
        <v>1</v>
      </c>
      <c r="C20" t="s">
        <v>2</v>
      </c>
      <c r="D20" t="s">
        <v>3</v>
      </c>
      <c r="E20" t="s">
        <v>1</v>
      </c>
      <c r="F20" t="s">
        <v>2</v>
      </c>
      <c r="G20" t="s">
        <v>3</v>
      </c>
      <c r="H20" t="s">
        <v>1</v>
      </c>
      <c r="I20" t="s">
        <v>2</v>
      </c>
      <c r="J20" t="s">
        <v>3</v>
      </c>
      <c r="K20" t="s">
        <v>1</v>
      </c>
      <c r="L20" t="s">
        <v>2</v>
      </c>
      <c r="M20" t="s">
        <v>3</v>
      </c>
      <c r="N20" t="s">
        <v>1</v>
      </c>
      <c r="O20" t="s">
        <v>2</v>
      </c>
      <c r="P20" t="s">
        <v>3</v>
      </c>
      <c r="Q20" t="s">
        <v>1</v>
      </c>
      <c r="R20" t="s">
        <v>2</v>
      </c>
      <c r="S20" t="s">
        <v>3</v>
      </c>
    </row>
    <row r="21" spans="1:19" x14ac:dyDescent="0.25">
      <c r="A21" t="s">
        <v>30</v>
      </c>
      <c r="B21">
        <v>609</v>
      </c>
      <c r="C21">
        <v>609</v>
      </c>
      <c r="D21">
        <v>621</v>
      </c>
      <c r="E21">
        <v>30</v>
      </c>
      <c r="F21">
        <v>30</v>
      </c>
      <c r="G21">
        <v>30</v>
      </c>
      <c r="H21">
        <v>2791</v>
      </c>
      <c r="I21">
        <v>2791</v>
      </c>
      <c r="J21">
        <v>2829</v>
      </c>
      <c r="K21">
        <v>3</v>
      </c>
      <c r="L21">
        <v>3</v>
      </c>
      <c r="M21">
        <v>4</v>
      </c>
      <c r="N21">
        <v>1</v>
      </c>
      <c r="O21">
        <v>1</v>
      </c>
      <c r="P21">
        <v>1</v>
      </c>
      <c r="Q21">
        <v>299</v>
      </c>
      <c r="R21">
        <v>299</v>
      </c>
      <c r="S21">
        <v>308</v>
      </c>
    </row>
    <row r="22" spans="1:19" x14ac:dyDescent="0.25">
      <c r="A22" t="s">
        <v>31</v>
      </c>
      <c r="B22">
        <v>1216</v>
      </c>
      <c r="C22">
        <v>1216</v>
      </c>
      <c r="D22">
        <v>1208</v>
      </c>
      <c r="E22">
        <v>64</v>
      </c>
      <c r="F22">
        <v>64</v>
      </c>
      <c r="G22">
        <v>64</v>
      </c>
      <c r="H22">
        <v>7134</v>
      </c>
      <c r="I22">
        <v>7134</v>
      </c>
      <c r="J22">
        <v>6792</v>
      </c>
      <c r="K22">
        <v>3</v>
      </c>
      <c r="L22">
        <v>3</v>
      </c>
      <c r="M22">
        <v>3</v>
      </c>
      <c r="N22">
        <v>0</v>
      </c>
      <c r="O22">
        <v>0</v>
      </c>
      <c r="P22">
        <v>0</v>
      </c>
      <c r="Q22">
        <v>1252</v>
      </c>
      <c r="R22">
        <v>1252</v>
      </c>
      <c r="S22">
        <v>309</v>
      </c>
    </row>
    <row r="23" spans="1:19" x14ac:dyDescent="0.25">
      <c r="A23" t="s">
        <v>32</v>
      </c>
      <c r="B23">
        <v>58</v>
      </c>
      <c r="C23">
        <v>62</v>
      </c>
      <c r="D23">
        <v>5624</v>
      </c>
      <c r="E23">
        <v>250</v>
      </c>
      <c r="F23">
        <v>266</v>
      </c>
      <c r="G23">
        <v>250</v>
      </c>
      <c r="H23">
        <v>11792</v>
      </c>
      <c r="I23">
        <v>11088</v>
      </c>
      <c r="J23">
        <v>11076</v>
      </c>
      <c r="K23">
        <v>5</v>
      </c>
      <c r="L23">
        <v>4</v>
      </c>
      <c r="M23">
        <v>6</v>
      </c>
      <c r="N23">
        <v>0</v>
      </c>
      <c r="O23">
        <v>0</v>
      </c>
      <c r="P23">
        <v>2</v>
      </c>
      <c r="Q23">
        <v>5018</v>
      </c>
      <c r="R23">
        <v>4293</v>
      </c>
      <c r="S23">
        <v>4360</v>
      </c>
    </row>
    <row r="25" spans="1:19" x14ac:dyDescent="0.25">
      <c r="A25" t="s">
        <v>33</v>
      </c>
    </row>
    <row r="26" spans="1:19" x14ac:dyDescent="0.25">
      <c r="A26" t="s">
        <v>34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6"/>
  <sheetViews>
    <sheetView tabSelected="1" workbookViewId="0">
      <selection activeCell="E3" sqref="E3:E26"/>
    </sheetView>
  </sheetViews>
  <sheetFormatPr defaultRowHeight="13.8" x14ac:dyDescent="0.25"/>
  <sheetData>
    <row r="1" spans="1:19" x14ac:dyDescent="0.25">
      <c r="A1" t="s">
        <v>35</v>
      </c>
    </row>
    <row r="2" spans="1:19" x14ac:dyDescent="0.25">
      <c r="A2" t="s">
        <v>36</v>
      </c>
      <c r="B2" t="s">
        <v>37</v>
      </c>
      <c r="C2" t="s">
        <v>38</v>
      </c>
      <c r="D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</row>
    <row r="3" spans="1:19" x14ac:dyDescent="0.25">
      <c r="A3" t="s">
        <v>11</v>
      </c>
      <c r="B3">
        <v>158</v>
      </c>
      <c r="C3">
        <v>158</v>
      </c>
      <c r="D3">
        <v>173</v>
      </c>
      <c r="E3">
        <f>D3-B3</f>
        <v>15</v>
      </c>
      <c r="F3">
        <v>4</v>
      </c>
      <c r="G3">
        <v>5</v>
      </c>
      <c r="H3">
        <v>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22</v>
      </c>
      <c r="P3">
        <v>25</v>
      </c>
      <c r="Q3">
        <v>22</v>
      </c>
      <c r="R3" t="s">
        <v>54</v>
      </c>
      <c r="S3" t="s">
        <v>55</v>
      </c>
    </row>
    <row r="4" spans="1:19" x14ac:dyDescent="0.25">
      <c r="A4" t="s">
        <v>56</v>
      </c>
      <c r="B4">
        <v>204</v>
      </c>
      <c r="C4">
        <v>204</v>
      </c>
      <c r="D4">
        <v>230</v>
      </c>
      <c r="E4">
        <f t="shared" ref="E4:E26" si="0">D4-B4</f>
        <v>26</v>
      </c>
      <c r="F4">
        <v>6</v>
      </c>
      <c r="G4">
        <v>6</v>
      </c>
      <c r="H4">
        <v>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57</v>
      </c>
      <c r="P4">
        <v>57</v>
      </c>
      <c r="Q4">
        <v>57</v>
      </c>
      <c r="R4" t="s">
        <v>57</v>
      </c>
      <c r="S4" t="s">
        <v>57</v>
      </c>
    </row>
    <row r="5" spans="1:19" x14ac:dyDescent="0.25">
      <c r="A5" t="s">
        <v>58</v>
      </c>
      <c r="B5">
        <v>375</v>
      </c>
      <c r="C5">
        <v>375</v>
      </c>
      <c r="D5">
        <v>372</v>
      </c>
      <c r="E5">
        <f t="shared" si="0"/>
        <v>-3</v>
      </c>
      <c r="F5">
        <v>8</v>
      </c>
      <c r="G5">
        <v>8</v>
      </c>
      <c r="H5">
        <v>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54</v>
      </c>
      <c r="P5">
        <v>54</v>
      </c>
      <c r="Q5">
        <v>54</v>
      </c>
      <c r="R5" t="s">
        <v>57</v>
      </c>
      <c r="S5" t="s">
        <v>57</v>
      </c>
    </row>
    <row r="6" spans="1:19" x14ac:dyDescent="0.25">
      <c r="A6" t="s">
        <v>59</v>
      </c>
      <c r="B6">
        <v>495</v>
      </c>
      <c r="C6">
        <v>495</v>
      </c>
      <c r="D6">
        <v>495</v>
      </c>
      <c r="E6">
        <f t="shared" si="0"/>
        <v>0</v>
      </c>
      <c r="F6">
        <v>8</v>
      </c>
      <c r="G6">
        <v>8</v>
      </c>
      <c r="H6">
        <v>7</v>
      </c>
      <c r="I6">
        <v>1</v>
      </c>
      <c r="J6">
        <v>1</v>
      </c>
      <c r="K6">
        <v>1</v>
      </c>
      <c r="L6">
        <v>0</v>
      </c>
      <c r="M6">
        <v>0</v>
      </c>
      <c r="N6">
        <v>0</v>
      </c>
      <c r="O6">
        <v>70</v>
      </c>
      <c r="P6">
        <v>70</v>
      </c>
      <c r="Q6">
        <v>65</v>
      </c>
      <c r="R6" t="s">
        <v>60</v>
      </c>
      <c r="S6" t="s">
        <v>57</v>
      </c>
    </row>
    <row r="7" spans="1:19" x14ac:dyDescent="0.25">
      <c r="A7" t="s">
        <v>30</v>
      </c>
      <c r="B7">
        <v>714</v>
      </c>
      <c r="C7">
        <v>714</v>
      </c>
      <c r="D7">
        <v>712</v>
      </c>
      <c r="E7">
        <f t="shared" si="0"/>
        <v>-2</v>
      </c>
      <c r="F7">
        <v>5</v>
      </c>
      <c r="G7">
        <v>5</v>
      </c>
      <c r="H7">
        <v>4</v>
      </c>
      <c r="I7">
        <v>1</v>
      </c>
      <c r="J7">
        <v>1</v>
      </c>
      <c r="K7">
        <v>1</v>
      </c>
      <c r="L7">
        <v>0</v>
      </c>
      <c r="M7">
        <v>0</v>
      </c>
      <c r="N7">
        <v>0</v>
      </c>
      <c r="O7">
        <v>162</v>
      </c>
      <c r="P7">
        <v>162</v>
      </c>
      <c r="Q7">
        <v>132</v>
      </c>
      <c r="R7" t="s">
        <v>61</v>
      </c>
      <c r="S7" t="s">
        <v>57</v>
      </c>
    </row>
    <row r="8" spans="1:19" x14ac:dyDescent="0.25">
      <c r="A8" t="s">
        <v>62</v>
      </c>
      <c r="B8">
        <v>575</v>
      </c>
      <c r="C8">
        <v>575</v>
      </c>
      <c r="D8">
        <v>649</v>
      </c>
      <c r="E8">
        <f t="shared" si="0"/>
        <v>74</v>
      </c>
      <c r="F8">
        <v>4</v>
      </c>
      <c r="G8">
        <v>4</v>
      </c>
      <c r="H8">
        <v>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172</v>
      </c>
      <c r="P8">
        <v>172</v>
      </c>
      <c r="Q8">
        <v>206</v>
      </c>
      <c r="R8" t="s">
        <v>63</v>
      </c>
      <c r="S8" t="s">
        <v>64</v>
      </c>
    </row>
    <row r="9" spans="1:19" x14ac:dyDescent="0.25">
      <c r="A9" t="s">
        <v>65</v>
      </c>
      <c r="B9">
        <v>563</v>
      </c>
      <c r="C9">
        <v>563</v>
      </c>
      <c r="D9">
        <v>117</v>
      </c>
      <c r="E9">
        <f t="shared" si="0"/>
        <v>-446</v>
      </c>
      <c r="F9">
        <v>6</v>
      </c>
      <c r="G9">
        <v>6</v>
      </c>
      <c r="H9">
        <v>6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314</v>
      </c>
      <c r="P9">
        <v>314</v>
      </c>
      <c r="Q9">
        <v>314</v>
      </c>
      <c r="R9" t="s">
        <v>57</v>
      </c>
      <c r="S9" t="s">
        <v>57</v>
      </c>
    </row>
    <row r="10" spans="1:19" x14ac:dyDescent="0.25">
      <c r="A10" t="s">
        <v>66</v>
      </c>
      <c r="B10">
        <v>370</v>
      </c>
      <c r="C10">
        <v>370</v>
      </c>
      <c r="D10">
        <v>366</v>
      </c>
      <c r="E10">
        <f t="shared" si="0"/>
        <v>-4</v>
      </c>
      <c r="F10">
        <v>7</v>
      </c>
      <c r="G10">
        <v>7</v>
      </c>
      <c r="H10">
        <v>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270</v>
      </c>
      <c r="P10">
        <v>270</v>
      </c>
      <c r="Q10">
        <v>270</v>
      </c>
      <c r="R10" t="s">
        <v>67</v>
      </c>
      <c r="S10" t="s">
        <v>57</v>
      </c>
    </row>
    <row r="11" spans="1:19" x14ac:dyDescent="0.25">
      <c r="A11" t="s">
        <v>68</v>
      </c>
      <c r="B11">
        <v>92</v>
      </c>
      <c r="C11">
        <v>92</v>
      </c>
      <c r="D11">
        <v>164</v>
      </c>
      <c r="E11">
        <f t="shared" si="0"/>
        <v>72</v>
      </c>
      <c r="F11">
        <v>6</v>
      </c>
      <c r="G11">
        <v>6</v>
      </c>
      <c r="H11">
        <v>5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256</v>
      </c>
      <c r="P11">
        <v>256</v>
      </c>
      <c r="Q11">
        <v>236</v>
      </c>
      <c r="R11" t="s">
        <v>69</v>
      </c>
      <c r="S11" t="s">
        <v>57</v>
      </c>
    </row>
    <row r="12" spans="1:19" x14ac:dyDescent="0.25">
      <c r="A12" t="s">
        <v>70</v>
      </c>
      <c r="B12">
        <v>857</v>
      </c>
      <c r="C12">
        <v>857</v>
      </c>
      <c r="D12">
        <v>783</v>
      </c>
      <c r="E12">
        <f t="shared" si="0"/>
        <v>-74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1</v>
      </c>
      <c r="M12">
        <v>1</v>
      </c>
      <c r="N12">
        <v>1</v>
      </c>
      <c r="O12">
        <v>256</v>
      </c>
      <c r="P12">
        <v>256</v>
      </c>
      <c r="Q12">
        <v>256</v>
      </c>
      <c r="R12" t="s">
        <v>57</v>
      </c>
      <c r="S12" t="s">
        <v>57</v>
      </c>
    </row>
    <row r="13" spans="1:19" x14ac:dyDescent="0.25">
      <c r="A13" t="s">
        <v>71</v>
      </c>
      <c r="B13">
        <v>0</v>
      </c>
      <c r="C13">
        <v>0</v>
      </c>
      <c r="D13">
        <v>0</v>
      </c>
      <c r="E13">
        <f t="shared" si="0"/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500</v>
      </c>
      <c r="P13">
        <v>600</v>
      </c>
      <c r="Q13">
        <v>1500</v>
      </c>
      <c r="R13" t="s">
        <v>57</v>
      </c>
      <c r="S13" t="s">
        <v>57</v>
      </c>
    </row>
    <row r="14" spans="1:19" x14ac:dyDescent="0.25">
      <c r="A14" t="s">
        <v>72</v>
      </c>
      <c r="B14">
        <v>308</v>
      </c>
      <c r="C14">
        <v>224</v>
      </c>
      <c r="D14">
        <v>286</v>
      </c>
      <c r="E14">
        <f t="shared" si="0"/>
        <v>-22</v>
      </c>
      <c r="F14">
        <v>8</v>
      </c>
      <c r="G14">
        <v>8</v>
      </c>
      <c r="H14">
        <v>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540</v>
      </c>
      <c r="P14">
        <v>540</v>
      </c>
      <c r="Q14">
        <v>540</v>
      </c>
      <c r="R14" t="s">
        <v>57</v>
      </c>
      <c r="S14" t="s">
        <v>57</v>
      </c>
    </row>
    <row r="15" spans="1:19" x14ac:dyDescent="0.25">
      <c r="A15" t="s">
        <v>73</v>
      </c>
      <c r="B15">
        <v>948</v>
      </c>
      <c r="C15">
        <v>900</v>
      </c>
      <c r="D15">
        <v>948</v>
      </c>
      <c r="E15">
        <f t="shared" si="0"/>
        <v>0</v>
      </c>
      <c r="F15">
        <v>5</v>
      </c>
      <c r="G15">
        <v>5</v>
      </c>
      <c r="H15">
        <v>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440</v>
      </c>
      <c r="P15">
        <v>440</v>
      </c>
      <c r="Q15">
        <v>440</v>
      </c>
      <c r="R15" t="s">
        <v>57</v>
      </c>
      <c r="S15" t="s">
        <v>57</v>
      </c>
    </row>
    <row r="16" spans="1:19" x14ac:dyDescent="0.25">
      <c r="A16" t="s">
        <v>74</v>
      </c>
      <c r="B16">
        <v>108</v>
      </c>
      <c r="C16">
        <v>64</v>
      </c>
      <c r="D16">
        <v>576</v>
      </c>
      <c r="E16">
        <f t="shared" si="0"/>
        <v>468</v>
      </c>
      <c r="F16">
        <v>8</v>
      </c>
      <c r="G16">
        <v>6</v>
      </c>
      <c r="H16">
        <v>6</v>
      </c>
      <c r="I16">
        <v>1</v>
      </c>
      <c r="J16">
        <v>1</v>
      </c>
      <c r="K16">
        <v>1</v>
      </c>
      <c r="L16">
        <v>0</v>
      </c>
      <c r="M16">
        <v>0</v>
      </c>
      <c r="N16">
        <v>0</v>
      </c>
      <c r="O16">
        <v>605</v>
      </c>
      <c r="P16">
        <v>605</v>
      </c>
      <c r="Q16">
        <v>605</v>
      </c>
      <c r="R16" t="s">
        <v>75</v>
      </c>
      <c r="S16" t="s">
        <v>57</v>
      </c>
    </row>
    <row r="17" spans="1:19" x14ac:dyDescent="0.25">
      <c r="A17" t="s">
        <v>76</v>
      </c>
      <c r="B17">
        <v>862</v>
      </c>
      <c r="C17">
        <v>674</v>
      </c>
      <c r="D17">
        <v>42</v>
      </c>
      <c r="E17">
        <f t="shared" si="0"/>
        <v>-820</v>
      </c>
      <c r="F17">
        <v>14</v>
      </c>
      <c r="G17">
        <v>14</v>
      </c>
      <c r="H17">
        <v>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519</v>
      </c>
      <c r="P17">
        <v>519</v>
      </c>
      <c r="Q17">
        <v>305</v>
      </c>
      <c r="R17" t="s">
        <v>77</v>
      </c>
      <c r="S17" t="s">
        <v>57</v>
      </c>
    </row>
    <row r="18" spans="1:19" x14ac:dyDescent="0.25">
      <c r="A18" t="s">
        <v>78</v>
      </c>
      <c r="B18">
        <v>664</v>
      </c>
      <c r="C18">
        <v>1328</v>
      </c>
      <c r="D18">
        <v>664</v>
      </c>
      <c r="E18">
        <f t="shared" si="0"/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800</v>
      </c>
      <c r="P18">
        <v>800</v>
      </c>
      <c r="Q18">
        <v>800</v>
      </c>
      <c r="R18" t="s">
        <v>57</v>
      </c>
      <c r="S18" t="s">
        <v>57</v>
      </c>
    </row>
    <row r="19" spans="1:19" x14ac:dyDescent="0.25">
      <c r="A19" t="s">
        <v>79</v>
      </c>
      <c r="B19">
        <v>528</v>
      </c>
      <c r="C19">
        <v>336</v>
      </c>
      <c r="D19">
        <v>528</v>
      </c>
      <c r="E19">
        <f t="shared" si="0"/>
        <v>0</v>
      </c>
      <c r="F19">
        <v>2</v>
      </c>
      <c r="G19">
        <v>2</v>
      </c>
      <c r="H19">
        <v>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730</v>
      </c>
      <c r="P19">
        <v>730</v>
      </c>
      <c r="Q19">
        <v>730</v>
      </c>
      <c r="R19" t="s">
        <v>57</v>
      </c>
      <c r="S19" t="s">
        <v>57</v>
      </c>
    </row>
    <row r="20" spans="1:19" x14ac:dyDescent="0.25">
      <c r="A20" t="s">
        <v>80</v>
      </c>
      <c r="B20">
        <v>42</v>
      </c>
      <c r="C20">
        <v>0</v>
      </c>
      <c r="D20">
        <v>42</v>
      </c>
      <c r="E20">
        <f t="shared" si="0"/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1</v>
      </c>
      <c r="L20">
        <v>0</v>
      </c>
      <c r="M20">
        <v>0</v>
      </c>
      <c r="N20">
        <v>0</v>
      </c>
      <c r="O20">
        <v>340</v>
      </c>
      <c r="P20">
        <v>340</v>
      </c>
      <c r="Q20">
        <v>340</v>
      </c>
      <c r="R20" t="s">
        <v>57</v>
      </c>
      <c r="S20" t="s">
        <v>57</v>
      </c>
    </row>
    <row r="21" spans="1:19" x14ac:dyDescent="0.25">
      <c r="A21" t="s">
        <v>81</v>
      </c>
      <c r="B21">
        <v>536</v>
      </c>
      <c r="C21">
        <v>478</v>
      </c>
      <c r="D21">
        <v>536</v>
      </c>
      <c r="E21">
        <f t="shared" si="0"/>
        <v>0</v>
      </c>
      <c r="F21">
        <v>6</v>
      </c>
      <c r="G21">
        <v>6</v>
      </c>
      <c r="H21">
        <v>6</v>
      </c>
      <c r="I21">
        <v>0</v>
      </c>
      <c r="J21">
        <v>0</v>
      </c>
      <c r="K21">
        <v>0</v>
      </c>
      <c r="L21">
        <v>1</v>
      </c>
      <c r="M21">
        <v>1</v>
      </c>
      <c r="N21">
        <v>1</v>
      </c>
      <c r="O21">
        <v>693</v>
      </c>
      <c r="P21">
        <v>693</v>
      </c>
      <c r="Q21">
        <v>693</v>
      </c>
      <c r="R21" t="s">
        <v>57</v>
      </c>
      <c r="S21" t="s">
        <v>57</v>
      </c>
    </row>
    <row r="22" spans="1:19" x14ac:dyDescent="0.25">
      <c r="A22" t="s">
        <v>82</v>
      </c>
      <c r="B22">
        <v>1326</v>
      </c>
      <c r="C22">
        <v>1278</v>
      </c>
      <c r="D22">
        <v>1326</v>
      </c>
      <c r="E22">
        <f t="shared" si="0"/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0</v>
      </c>
      <c r="M22">
        <v>0</v>
      </c>
      <c r="N22">
        <v>0</v>
      </c>
      <c r="O22">
        <v>925</v>
      </c>
      <c r="P22">
        <v>925</v>
      </c>
      <c r="Q22">
        <v>925</v>
      </c>
      <c r="R22" t="s">
        <v>57</v>
      </c>
      <c r="S22" t="s">
        <v>57</v>
      </c>
    </row>
    <row r="23" spans="1:19" x14ac:dyDescent="0.25">
      <c r="A23" t="s">
        <v>32</v>
      </c>
      <c r="B23">
        <v>29</v>
      </c>
      <c r="C23">
        <v>31</v>
      </c>
      <c r="D23">
        <v>0</v>
      </c>
      <c r="E23">
        <f t="shared" si="0"/>
        <v>-29</v>
      </c>
      <c r="F23">
        <v>3</v>
      </c>
      <c r="G23">
        <v>3</v>
      </c>
      <c r="H23">
        <v>0</v>
      </c>
      <c r="I23">
        <v>2</v>
      </c>
      <c r="J23">
        <v>2</v>
      </c>
      <c r="K23">
        <v>2</v>
      </c>
      <c r="L23">
        <v>0</v>
      </c>
      <c r="M23">
        <v>0</v>
      </c>
      <c r="N23">
        <v>0</v>
      </c>
      <c r="O23">
        <v>820</v>
      </c>
      <c r="P23">
        <v>820</v>
      </c>
      <c r="Q23">
        <v>820</v>
      </c>
      <c r="R23" t="s">
        <v>57</v>
      </c>
      <c r="S23" t="s">
        <v>57</v>
      </c>
    </row>
    <row r="24" spans="1:19" x14ac:dyDescent="0.25">
      <c r="A24" t="s">
        <v>83</v>
      </c>
      <c r="B24">
        <v>214</v>
      </c>
      <c r="C24">
        <v>215</v>
      </c>
      <c r="D24">
        <v>240</v>
      </c>
      <c r="E24">
        <f t="shared" si="0"/>
        <v>26</v>
      </c>
      <c r="F24">
        <v>3</v>
      </c>
      <c r="G24">
        <v>3</v>
      </c>
      <c r="H24">
        <v>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750</v>
      </c>
      <c r="P24">
        <v>750</v>
      </c>
      <c r="Q24">
        <v>750</v>
      </c>
      <c r="R24" t="s">
        <v>84</v>
      </c>
      <c r="S24" t="s">
        <v>57</v>
      </c>
    </row>
    <row r="25" spans="1:19" x14ac:dyDescent="0.25">
      <c r="A25" t="s">
        <v>85</v>
      </c>
      <c r="B25">
        <v>106</v>
      </c>
      <c r="C25">
        <v>100</v>
      </c>
      <c r="D25">
        <v>106</v>
      </c>
      <c r="E25">
        <f t="shared" si="0"/>
        <v>0</v>
      </c>
      <c r="F25">
        <v>7</v>
      </c>
      <c r="G25">
        <v>7</v>
      </c>
      <c r="H25">
        <v>7</v>
      </c>
      <c r="I25">
        <v>1</v>
      </c>
      <c r="J25">
        <v>1</v>
      </c>
      <c r="K25">
        <v>1</v>
      </c>
      <c r="L25">
        <v>0</v>
      </c>
      <c r="M25">
        <v>0</v>
      </c>
      <c r="N25">
        <v>0</v>
      </c>
      <c r="O25">
        <v>753</v>
      </c>
      <c r="P25">
        <v>753</v>
      </c>
      <c r="Q25">
        <v>753</v>
      </c>
      <c r="R25" t="s">
        <v>57</v>
      </c>
      <c r="S25" t="s">
        <v>57</v>
      </c>
    </row>
    <row r="26" spans="1:19" x14ac:dyDescent="0.25">
      <c r="A26" t="s">
        <v>86</v>
      </c>
      <c r="B26">
        <v>10074</v>
      </c>
      <c r="C26">
        <v>10031</v>
      </c>
      <c r="D26">
        <v>9355</v>
      </c>
      <c r="E26">
        <f t="shared" si="0"/>
        <v>-719</v>
      </c>
      <c r="F26">
        <v>113</v>
      </c>
      <c r="G26">
        <v>112</v>
      </c>
      <c r="H26">
        <v>99</v>
      </c>
      <c r="I26">
        <v>12</v>
      </c>
      <c r="J26">
        <v>12</v>
      </c>
      <c r="K26">
        <v>12</v>
      </c>
      <c r="L26">
        <v>2</v>
      </c>
      <c r="M26">
        <v>2</v>
      </c>
      <c r="N26">
        <v>2</v>
      </c>
      <c r="O26">
        <v>10048</v>
      </c>
      <c r="P26">
        <v>10151</v>
      </c>
      <c r="Q26">
        <v>10813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整体对比</vt:lpstr>
      <vt:lpstr>逐层差异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 luo</cp:lastModifiedBy>
  <dcterms:modified xsi:type="dcterms:W3CDTF">2026-10-08T13:43:12Z</dcterms:modified>
</cp:coreProperties>
</file>