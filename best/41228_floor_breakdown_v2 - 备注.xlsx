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\mota-web-explorer\best\"/>
    </mc:Choice>
  </mc:AlternateContent>
  <xr:revisionPtr revIDLastSave="0" documentId="13_ncr:1_{1E1755FA-A1A7-4A62-80B6-9137365EB355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汇总记录" sheetId="1" r:id="rId1"/>
    <sheet name="分层记录" sheetId="2" r:id="rId2"/>
  </sheets>
  <calcPr calcId="191029"/>
</workbook>
</file>

<file path=xl/calcChain.xml><?xml version="1.0" encoding="utf-8"?>
<calcChain xmlns="http://schemas.openxmlformats.org/spreadsheetml/2006/main">
  <c r="N34" i="2" l="1"/>
  <c r="M34" i="2"/>
  <c r="N37" i="2"/>
  <c r="M33" i="2"/>
  <c r="N38" i="2"/>
  <c r="M38" i="2" s="1"/>
  <c r="M37" i="2"/>
  <c r="N12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5" i="2"/>
  <c r="M36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2" i="2"/>
  <c r="M3" i="2"/>
  <c r="M4" i="2"/>
  <c r="M5" i="2"/>
  <c r="M6" i="2"/>
  <c r="M7" i="2"/>
</calcChain>
</file>

<file path=xl/sharedStrings.xml><?xml version="1.0" encoding="utf-8"?>
<sst xmlns="http://schemas.openxmlformats.org/spreadsheetml/2006/main" count="255" uniqueCount="160">
  <si>
    <t>分楼层汇总记录（最终50F真魔王封印后/击杀前）</t>
  </si>
  <si>
    <t>剩余状态(HP)</t>
  </si>
  <si>
    <t>剩余状态(ATK)</t>
  </si>
  <si>
    <t>剩余状态(DEF)</t>
  </si>
  <si>
    <t>剩余状态(金币)</t>
  </si>
  <si>
    <t>dmg</t>
  </si>
  <si>
    <t>魔法伤害量</t>
  </si>
  <si>
    <t>拾取血量(已拾血瓶)</t>
  </si>
  <si>
    <t>剩余血量</t>
  </si>
  <si>
    <t>总获金币</t>
  </si>
  <si>
    <t>打怪金币</t>
  </si>
  <si>
    <t>卖yk金币</t>
  </si>
  <si>
    <t>其它金币</t>
  </si>
  <si>
    <t>剩余怪金</t>
  </si>
  <si>
    <t>&lt;= 金币对账: 总获金=打怪+卖yk+其它；打怪=击杀+auto+事件生成怪收入(其它=事件/NPC赠送, 如MT2老头+1000、MT32骑士队长先攻+100)</t>
  </si>
  <si>
    <t>钥匙对账(每色)</t>
  </si>
  <si>
    <t>颜色</t>
  </si>
  <si>
    <t>初始</t>
  </si>
  <si>
    <t>裸拾取</t>
  </si>
  <si>
    <t>商人购买</t>
  </si>
  <si>
    <t>开门消耗</t>
  </si>
  <si>
    <t>出售</t>
  </si>
  <si>
    <t>最终库存</t>
  </si>
  <si>
    <t>对账(=0?)</t>
  </si>
  <si>
    <t>黄钥</t>
  </si>
  <si>
    <t>蓝钥</t>
  </si>
  <si>
    <t>红钥</t>
  </si>
  <si>
    <t>说明：裸拾取=地图裸钥(不含商人买)；商人买另列；对账=初始+裸拾+买−开−售−最终</t>
  </si>
  <si>
    <t>合计(开/裸拾/买): 黄</t>
  </si>
  <si>
    <t>蓝</t>
  </si>
  <si>
    <t>红</t>
  </si>
  <si>
    <t>各区商店购买次数</t>
  </si>
  <si>
    <t>总计</t>
  </si>
  <si>
    <t>攻</t>
  </si>
  <si>
    <t>防</t>
  </si>
  <si>
    <t>血</t>
  </si>
  <si>
    <t>1区(1-10F)</t>
  </si>
  <si>
    <t>2区(11-20F)</t>
  </si>
  <si>
    <t>3区(21-30F)</t>
  </si>
  <si>
    <t>4区(31-40F)</t>
  </si>
  <si>
    <t>5区(41-50F)</t>
  </si>
  <si>
    <t>合计</t>
  </si>
  <si>
    <t>累计商店属性增益</t>
  </si>
  <si>
    <t/>
  </si>
  <si>
    <t>攻+8</t>
  </si>
  <si>
    <t>防+232</t>
  </si>
  <si>
    <t>血+1600</t>
  </si>
  <si>
    <t>全图剩余资源（authoritative Game 末态）</t>
  </si>
  <si>
    <t>剩余门 黄/蓝/红</t>
  </si>
  <si>
    <t>剩余裸钥 黄/蓝/红</t>
  </si>
  <si>
    <t>剩余血瓶HP(按区ratio)</t>
  </si>
  <si>
    <t>口径：截点=最终50F真魔王redKing击杀前；dmg含魔法；魔法伤害=地图伤害步；</t>
  </si>
  <si>
    <t>拾取血量=已拾血瓶按ratio(红50×ratio蓝200×ratio)；剩余怪金=authoritative Game 末态未杀怪money；剩余裸钥/门/血瓶=Game 末态剩余；剩余血量=该层未拾血瓶HP折算。</t>
  </si>
  <si>
    <t>楼层</t>
  </si>
  <si>
    <t>剩余红门</t>
  </si>
  <si>
    <t>剩余rk</t>
  </si>
  <si>
    <t>剩余蓝门</t>
  </si>
  <si>
    <t>剩余bk</t>
  </si>
  <si>
    <t>剩余黄门</t>
  </si>
  <si>
    <t>剩余yk</t>
  </si>
  <si>
    <t>剩余商人</t>
  </si>
  <si>
    <t>剩余事件</t>
  </si>
  <si>
    <t>MT1(1区)</t>
  </si>
  <si>
    <t>-</t>
  </si>
  <si>
    <t>MT2(1区)</t>
  </si>
  <si>
    <t>@1,9</t>
  </si>
  <si>
    <t>MT3(1区)</t>
  </si>
  <si>
    <t>MT4(1区)</t>
  </si>
  <si>
    <t>(6,1)商店(攻/防/蓝钥)</t>
  </si>
  <si>
    <t>MT5(1区)</t>
  </si>
  <si>
    <t>MT6(1区)</t>
  </si>
  <si>
    <t>MT7(1区)</t>
  </si>
  <si>
    <t>MT8(1区)</t>
  </si>
  <si>
    <t>MT9(1区)</t>
  </si>
  <si>
    <t>MT10(1区)</t>
  </si>
  <si>
    <t>MT11(2区)</t>
  </si>
  <si>
    <t>MT12(2区)</t>
  </si>
  <si>
    <t>@11,1</t>
  </si>
  <si>
    <t>MT13(2区)</t>
  </si>
  <si>
    <t>MT14(2区)</t>
  </si>
  <si>
    <t>MT15(2区)</t>
  </si>
  <si>
    <t>MT16(2区)</t>
  </si>
  <si>
    <t>MT17(2区)</t>
  </si>
  <si>
    <t>MT18(2区)</t>
  </si>
  <si>
    <t>MT19(2区)</t>
  </si>
  <si>
    <t>MT20(2区)</t>
  </si>
  <si>
    <t>MT21(3区)</t>
  </si>
  <si>
    <t>MT22(3区)</t>
  </si>
  <si>
    <t>MT23(3区)</t>
  </si>
  <si>
    <t>MT24(3区)</t>
  </si>
  <si>
    <t>MT25(3区)</t>
  </si>
  <si>
    <t>MT26(3区)</t>
  </si>
  <si>
    <t>MT27(3区)</t>
  </si>
  <si>
    <t>MT28(3区)</t>
  </si>
  <si>
    <t>MT29(3区)</t>
  </si>
  <si>
    <t>MT30(3区)</t>
  </si>
  <si>
    <t>MT31(4区)</t>
  </si>
  <si>
    <t>(11,1)1000G→4黄+1蓝钥(钥匙包);(1,11)交易商人</t>
  </si>
  <si>
    <t>MT32(4区)</t>
  </si>
  <si>
    <t>MT33(4区)</t>
  </si>
  <si>
    <t>MT34(4区)</t>
  </si>
  <si>
    <t>MT35(4区)</t>
  </si>
  <si>
    <t>MT36(4区)</t>
  </si>
  <si>
    <t>MT37(4区)</t>
  </si>
  <si>
    <t>MT38(4区)</t>
  </si>
  <si>
    <t>MT39(4区)</t>
  </si>
  <si>
    <t>(9,2)2000G→3蓝钥</t>
  </si>
  <si>
    <t>MT40(4区)</t>
  </si>
  <si>
    <t>MT41(5区)</t>
  </si>
  <si>
    <t>MT42(5区)</t>
  </si>
  <si>
    <t>MT43(5区)</t>
  </si>
  <si>
    <t>@8,1</t>
  </si>
  <si>
    <t>MT44(5区)</t>
  </si>
  <si>
    <t>MT45(5区)</t>
  </si>
  <si>
    <t>MT46(5区)</t>
  </si>
  <si>
    <t>MT47(5区)</t>
  </si>
  <si>
    <t>MT48(5区)</t>
  </si>
  <si>
    <t>MT49(5区)</t>
  </si>
  <si>
    <t>MT50(5区)</t>
  </si>
  <si>
    <t>花 174hp 留 2yk</t>
    <phoneticPr fontId="18" type="noConversion"/>
  </si>
  <si>
    <t>花 108血 留 2yk，花 2yk 留 348hp（可能可以节约20血，也可能花28甚至更多补充）</t>
    <phoneticPr fontId="18" type="noConversion"/>
  </si>
  <si>
    <t>花 74血 留 1yk</t>
    <phoneticPr fontId="18" type="noConversion"/>
  </si>
  <si>
    <t>花 1bk 留 1yk + 384血</t>
    <phoneticPr fontId="18" type="noConversion"/>
  </si>
  <si>
    <t>花 1bk + 52血 留 1yk + 500血</t>
    <phoneticPr fontId="18" type="noConversion"/>
  </si>
  <si>
    <t>留 372血 + 1bk 可换 1rk，这个34楼花费2yk换 1rk （好像还要花 500+ 血）比这里划算？</t>
    <phoneticPr fontId="18" type="noConversion"/>
  </si>
  <si>
    <t>花 2yk + 74血 + 800g 换 1rk，花 124血 + 1yk 留 1bk</t>
    <phoneticPr fontId="18" type="noConversion"/>
  </si>
  <si>
    <t>未拾血瓶HP</t>
    <phoneticPr fontId="18" type="noConversion"/>
  </si>
  <si>
    <t>掉血量</t>
    <phoneticPr fontId="18" type="noConversion"/>
  </si>
  <si>
    <t>hp转换1</t>
    <phoneticPr fontId="18" type="noConversion"/>
  </si>
  <si>
    <t>bk转换1</t>
    <phoneticPr fontId="18" type="noConversion"/>
  </si>
  <si>
    <t>yk转换1</t>
    <phoneticPr fontId="18" type="noConversion"/>
  </si>
  <si>
    <t>rk转换1</t>
    <phoneticPr fontId="18" type="noConversion"/>
  </si>
  <si>
    <t>金币转换1</t>
    <phoneticPr fontId="18" type="noConversion"/>
  </si>
  <si>
    <t>hp转换收益</t>
    <phoneticPr fontId="18" type="noConversion"/>
  </si>
  <si>
    <t>备注 - 收益预估 1bk=500g，1yk=100g=100hp，1rk=1000</t>
    <phoneticPr fontId="18" type="noConversion"/>
  </si>
  <si>
    <t>花 对称飞行器 留 1yk + 较多血， 花 1yk 换 1bk</t>
    <phoneticPr fontId="18" type="noConversion"/>
  </si>
  <si>
    <t>花 1yk + 6血 留 1bk</t>
    <phoneticPr fontId="18" type="noConversion"/>
  </si>
  <si>
    <t>花 1bk+42血 留 1yk + 1064（264*2+494+42）血</t>
    <phoneticPr fontId="18" type="noConversion"/>
  </si>
  <si>
    <t xml:space="preserve">花 496+264 血 留 1yk + 528（264*2）血 </t>
    <phoneticPr fontId="18" type="noConversion"/>
  </si>
  <si>
    <t>花 246 + 1yk 留 1bk</t>
    <phoneticPr fontId="18" type="noConversion"/>
  </si>
  <si>
    <t>花 1bk 换 500血 + 6g</t>
    <phoneticPr fontId="18" type="noConversion"/>
  </si>
  <si>
    <t>未花 4yk 少 214g + rk，</t>
    <phoneticPr fontId="18" type="noConversion"/>
  </si>
  <si>
    <t>镐 节约 1yk</t>
    <phoneticPr fontId="18" type="noConversion"/>
  </si>
  <si>
    <t>对称飞行器 节约 1yk + 240血，但1bk+5yk提前拿后续钥匙周转容易很多</t>
    <phoneticPr fontId="18" type="noConversion"/>
  </si>
  <si>
    <t>对称飞行器可以节约3yk</t>
    <phoneticPr fontId="18" type="noConversion"/>
  </si>
  <si>
    <t>终局 花 288*2 留 1bk 1yk 54*2，但前期yk消耗很高，未花 1bk 换 1yk + 75g</t>
    <phoneticPr fontId="18" type="noConversion"/>
  </si>
  <si>
    <t>花 1bk 留3yk + 693</t>
    <phoneticPr fontId="18" type="noConversion"/>
  </si>
  <si>
    <t>花 1bk 留 2yk + 448hp（不精确），花2yk 留 1bk</t>
    <phoneticPr fontId="18" type="noConversion"/>
  </si>
  <si>
    <t>1y换血</t>
    <phoneticPr fontId="18" type="noConversion"/>
  </si>
  <si>
    <t>1bk换血</t>
    <phoneticPr fontId="18" type="noConversion"/>
  </si>
  <si>
    <t>备注</t>
    <phoneticPr fontId="18" type="noConversion"/>
  </si>
  <si>
    <t>2yk=348</t>
    <phoneticPr fontId="18" type="noConversion"/>
  </si>
  <si>
    <t>多1bk，2区应该更多伤害</t>
    <phoneticPr fontId="18" type="noConversion"/>
  </si>
  <si>
    <t>节约 1bk 除了掉血，还要多浪费3yk拾取100血</t>
    <phoneticPr fontId="18" type="noConversion"/>
  </si>
  <si>
    <t>&lt;100</t>
    <phoneticPr fontId="18" type="noConversion"/>
  </si>
  <si>
    <t>这里蓝门开了拿防御可能是负收益</t>
    <phoneticPr fontId="18" type="noConversion"/>
  </si>
  <si>
    <t>这里1yk开门换16楼bk可以少掉70血</t>
    <phoneticPr fontId="18" type="noConversion"/>
  </si>
  <si>
    <t>1yk换100血还有56g</t>
    <phoneticPr fontId="18" type="noConversion"/>
  </si>
  <si>
    <t>1bk+2yk换260血</t>
    <phoneticPr fontId="18" type="noConversion"/>
  </si>
  <si>
    <t>先拿盾要3bk，可节约536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</si>
</sst>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workbookViewId="0">
      <selection activeCell="D4" sqref="D4"/>
    </sheetView>
  </sheetViews>
  <sheetFormatPr defaultRowHeight="13.8" x14ac:dyDescent="0.25"/>
  <sheetData>
    <row r="1" spans="1:13" x14ac:dyDescent="0.25">
      <c r="A1" t="s">
        <v>0</v>
      </c>
    </row>
    <row r="3" spans="1:13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x14ac:dyDescent="0.25">
      <c r="A4">
        <v>41228</v>
      </c>
      <c r="B4">
        <v>374</v>
      </c>
      <c r="C4">
        <v>611</v>
      </c>
      <c r="D4">
        <v>140</v>
      </c>
      <c r="E4">
        <v>13388</v>
      </c>
      <c r="F4">
        <v>1523</v>
      </c>
      <c r="G4">
        <v>18850</v>
      </c>
      <c r="H4">
        <v>41228</v>
      </c>
      <c r="I4">
        <v>20353</v>
      </c>
      <c r="J4">
        <v>17653</v>
      </c>
      <c r="K4">
        <v>1600</v>
      </c>
      <c r="L4">
        <v>1100</v>
      </c>
      <c r="M4">
        <v>385</v>
      </c>
    </row>
    <row r="5" spans="1:13" x14ac:dyDescent="0.25">
      <c r="A5" t="s">
        <v>14</v>
      </c>
    </row>
    <row r="7" spans="1:13" x14ac:dyDescent="0.25">
      <c r="A7" t="s">
        <v>15</v>
      </c>
    </row>
    <row r="8" spans="1:13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</row>
    <row r="9" spans="1:13" x14ac:dyDescent="0.25">
      <c r="A9" t="s">
        <v>24</v>
      </c>
      <c r="B9">
        <v>4</v>
      </c>
      <c r="C9">
        <v>171</v>
      </c>
      <c r="D9">
        <v>8</v>
      </c>
      <c r="E9">
        <v>167</v>
      </c>
      <c r="F9">
        <v>16</v>
      </c>
      <c r="G9">
        <v>0</v>
      </c>
      <c r="H9">
        <v>0</v>
      </c>
    </row>
    <row r="10" spans="1:13" x14ac:dyDescent="0.25">
      <c r="A10" t="s">
        <v>25</v>
      </c>
      <c r="B10">
        <v>1</v>
      </c>
      <c r="C10">
        <v>19</v>
      </c>
      <c r="D10">
        <v>2</v>
      </c>
      <c r="E10">
        <v>22</v>
      </c>
      <c r="F10">
        <v>0</v>
      </c>
      <c r="G10">
        <v>0</v>
      </c>
      <c r="H10">
        <v>0</v>
      </c>
    </row>
    <row r="11" spans="1:13" x14ac:dyDescent="0.25">
      <c r="A11" t="s">
        <v>26</v>
      </c>
      <c r="B11">
        <v>0</v>
      </c>
      <c r="C11">
        <v>9</v>
      </c>
      <c r="D11">
        <v>1</v>
      </c>
      <c r="E11">
        <v>10</v>
      </c>
      <c r="F11">
        <v>0</v>
      </c>
      <c r="G11">
        <v>0</v>
      </c>
      <c r="H11">
        <v>0</v>
      </c>
    </row>
    <row r="12" spans="1:13" x14ac:dyDescent="0.25">
      <c r="A12" t="s">
        <v>27</v>
      </c>
    </row>
    <row r="13" spans="1:13" x14ac:dyDescent="0.25">
      <c r="A13" t="s">
        <v>28</v>
      </c>
      <c r="B13">
        <v>167</v>
      </c>
      <c r="C13">
        <v>171</v>
      </c>
      <c r="D13">
        <v>8</v>
      </c>
      <c r="E13" t="s">
        <v>29</v>
      </c>
      <c r="F13">
        <v>22</v>
      </c>
      <c r="G13">
        <v>19</v>
      </c>
      <c r="H13">
        <v>2</v>
      </c>
      <c r="I13" t="s">
        <v>30</v>
      </c>
      <c r="J13">
        <v>10</v>
      </c>
      <c r="K13">
        <v>9</v>
      </c>
      <c r="L13">
        <v>1</v>
      </c>
    </row>
    <row r="15" spans="1:13" x14ac:dyDescent="0.25">
      <c r="A15" t="s">
        <v>31</v>
      </c>
      <c r="B15" t="s">
        <v>32</v>
      </c>
      <c r="C15" t="s">
        <v>33</v>
      </c>
      <c r="D15" t="s">
        <v>34</v>
      </c>
      <c r="E15" t="s">
        <v>35</v>
      </c>
    </row>
    <row r="16" spans="1:13" x14ac:dyDescent="0.25">
      <c r="A16" t="s">
        <v>36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37</v>
      </c>
      <c r="B17">
        <v>2</v>
      </c>
      <c r="C17">
        <v>2</v>
      </c>
      <c r="D17">
        <v>0</v>
      </c>
      <c r="E17">
        <v>0</v>
      </c>
    </row>
    <row r="18" spans="1:5" x14ac:dyDescent="0.25">
      <c r="A18" t="s">
        <v>38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39</v>
      </c>
      <c r="B19">
        <v>7</v>
      </c>
      <c r="C19">
        <v>0</v>
      </c>
      <c r="D19">
        <v>7</v>
      </c>
      <c r="E19">
        <v>0</v>
      </c>
    </row>
    <row r="20" spans="1:5" x14ac:dyDescent="0.25">
      <c r="A20" t="s">
        <v>40</v>
      </c>
      <c r="B20">
        <v>7</v>
      </c>
      <c r="C20">
        <v>0</v>
      </c>
      <c r="D20">
        <v>6</v>
      </c>
      <c r="E20">
        <v>1</v>
      </c>
    </row>
    <row r="21" spans="1:5" x14ac:dyDescent="0.25">
      <c r="A21" t="s">
        <v>41</v>
      </c>
      <c r="B21">
        <v>16</v>
      </c>
      <c r="C21">
        <v>2</v>
      </c>
      <c r="D21">
        <v>13</v>
      </c>
      <c r="E21">
        <v>1</v>
      </c>
    </row>
    <row r="22" spans="1:5" x14ac:dyDescent="0.25">
      <c r="A22" t="s">
        <v>42</v>
      </c>
      <c r="B22" t="s">
        <v>43</v>
      </c>
      <c r="C22" t="s">
        <v>44</v>
      </c>
      <c r="D22" t="s">
        <v>45</v>
      </c>
      <c r="E22" t="s">
        <v>46</v>
      </c>
    </row>
    <row r="24" spans="1:5" x14ac:dyDescent="0.25">
      <c r="A24" t="s">
        <v>47</v>
      </c>
    </row>
    <row r="25" spans="1:5" x14ac:dyDescent="0.25">
      <c r="A25" t="s">
        <v>13</v>
      </c>
      <c r="B25">
        <v>385</v>
      </c>
    </row>
    <row r="26" spans="1:5" x14ac:dyDescent="0.25">
      <c r="A26" t="s">
        <v>48</v>
      </c>
      <c r="B26">
        <v>54</v>
      </c>
      <c r="C26">
        <v>17</v>
      </c>
      <c r="D26">
        <v>1</v>
      </c>
    </row>
    <row r="27" spans="1:5" x14ac:dyDescent="0.25">
      <c r="A27" t="s">
        <v>49</v>
      </c>
      <c r="B27">
        <v>1</v>
      </c>
      <c r="C27">
        <v>0</v>
      </c>
      <c r="D27">
        <v>0</v>
      </c>
    </row>
    <row r="28" spans="1:5" x14ac:dyDescent="0.25">
      <c r="A28" t="s">
        <v>50</v>
      </c>
      <c r="B28">
        <v>300</v>
      </c>
    </row>
    <row r="30" spans="1:5" x14ac:dyDescent="0.25">
      <c r="A30" t="s">
        <v>51</v>
      </c>
      <c r="B30" t="s">
        <v>52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1"/>
  <sheetViews>
    <sheetView tabSelected="1" workbookViewId="0">
      <pane ySplit="1" topLeftCell="A2" activePane="bottomLeft" state="frozen"/>
      <selection pane="bottomLeft" activeCell="U22" sqref="U22"/>
    </sheetView>
  </sheetViews>
  <sheetFormatPr defaultRowHeight="13.8" x14ac:dyDescent="0.25"/>
  <cols>
    <col min="2" max="10" width="6.44140625" customWidth="1"/>
    <col min="11" max="11" width="8" customWidth="1"/>
    <col min="12" max="18" width="6.109375" customWidth="1"/>
    <col min="19" max="19" width="32.88671875" customWidth="1"/>
    <col min="22" max="22" width="16.21875" customWidth="1"/>
  </cols>
  <sheetData>
    <row r="1" spans="1:22" s="1" customFormat="1" ht="41.4" x14ac:dyDescent="0.25">
      <c r="A1" s="1" t="s">
        <v>53</v>
      </c>
      <c r="B1" s="1" t="s">
        <v>127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126</v>
      </c>
      <c r="J1" s="1" t="s">
        <v>13</v>
      </c>
      <c r="K1" s="1" t="s">
        <v>60</v>
      </c>
      <c r="L1" s="1" t="s">
        <v>61</v>
      </c>
      <c r="M1" s="1" t="s">
        <v>133</v>
      </c>
      <c r="N1" s="1" t="s">
        <v>128</v>
      </c>
      <c r="O1" s="1" t="s">
        <v>132</v>
      </c>
      <c r="P1" s="1" t="s">
        <v>129</v>
      </c>
      <c r="Q1" s="1" t="s">
        <v>130</v>
      </c>
      <c r="R1" s="1" t="s">
        <v>131</v>
      </c>
      <c r="S1" s="1" t="s">
        <v>134</v>
      </c>
      <c r="T1" s="1" t="s">
        <v>148</v>
      </c>
      <c r="U1" s="1" t="s">
        <v>149</v>
      </c>
      <c r="V1" s="1" t="s">
        <v>150</v>
      </c>
    </row>
    <row r="2" spans="1:22" x14ac:dyDescent="0.25">
      <c r="A2" t="s">
        <v>62</v>
      </c>
      <c r="B2">
        <v>63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63</v>
      </c>
      <c r="L2" t="s">
        <v>63</v>
      </c>
      <c r="M2">
        <f t="shared" ref="M2:M51" si="0">N2+O2+P2*500+Q2*100+R2*1000</f>
        <v>0</v>
      </c>
      <c r="T2">
        <v>-189</v>
      </c>
    </row>
    <row r="3" spans="1:22" x14ac:dyDescent="0.25">
      <c r="A3" t="s">
        <v>64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63</v>
      </c>
      <c r="L3" t="s">
        <v>65</v>
      </c>
      <c r="M3">
        <f t="shared" si="0"/>
        <v>0</v>
      </c>
      <c r="T3">
        <v>50</v>
      </c>
    </row>
    <row r="4" spans="1:22" x14ac:dyDescent="0.25">
      <c r="A4" t="s">
        <v>66</v>
      </c>
      <c r="B4">
        <v>80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50</v>
      </c>
      <c r="J4">
        <v>3</v>
      </c>
      <c r="K4" t="s">
        <v>63</v>
      </c>
      <c r="L4" t="s">
        <v>63</v>
      </c>
      <c r="M4">
        <f t="shared" si="0"/>
        <v>0</v>
      </c>
    </row>
    <row r="5" spans="1:22" x14ac:dyDescent="0.25">
      <c r="A5" t="s">
        <v>67</v>
      </c>
      <c r="B5">
        <v>216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 t="s">
        <v>68</v>
      </c>
      <c r="L5" t="s">
        <v>63</v>
      </c>
      <c r="M5">
        <f t="shared" si="0"/>
        <v>0</v>
      </c>
      <c r="T5">
        <v>-200</v>
      </c>
    </row>
    <row r="6" spans="1:22" x14ac:dyDescent="0.25">
      <c r="A6" t="s">
        <v>69</v>
      </c>
      <c r="B6">
        <v>311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63</v>
      </c>
      <c r="L6" t="s">
        <v>63</v>
      </c>
      <c r="M6">
        <f t="shared" si="0"/>
        <v>0</v>
      </c>
    </row>
    <row r="7" spans="1:22" x14ac:dyDescent="0.25">
      <c r="A7" t="s">
        <v>70</v>
      </c>
      <c r="B7">
        <v>207</v>
      </c>
      <c r="C7">
        <v>0</v>
      </c>
      <c r="D7">
        <v>0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  <c r="K7" t="s">
        <v>63</v>
      </c>
      <c r="L7" t="s">
        <v>63</v>
      </c>
      <c r="M7">
        <f>N7+O7+P7*500+Q7*100+R7*1000</f>
        <v>92</v>
      </c>
      <c r="N7">
        <v>-108</v>
      </c>
      <c r="Q7">
        <v>2</v>
      </c>
      <c r="S7" t="s">
        <v>120</v>
      </c>
      <c r="T7">
        <v>-174</v>
      </c>
      <c r="V7" t="s">
        <v>151</v>
      </c>
    </row>
    <row r="8" spans="1:22" x14ac:dyDescent="0.25">
      <c r="A8" t="s">
        <v>71</v>
      </c>
      <c r="B8">
        <v>501</v>
      </c>
      <c r="C8">
        <v>0</v>
      </c>
      <c r="D8">
        <v>0</v>
      </c>
      <c r="E8">
        <v>1</v>
      </c>
      <c r="F8">
        <v>0</v>
      </c>
      <c r="G8">
        <v>3</v>
      </c>
      <c r="H8">
        <v>0</v>
      </c>
      <c r="I8">
        <v>0</v>
      </c>
      <c r="J8">
        <v>8</v>
      </c>
      <c r="K8" t="s">
        <v>63</v>
      </c>
      <c r="L8" t="s">
        <v>63</v>
      </c>
      <c r="M8">
        <f t="shared" si="0"/>
        <v>26</v>
      </c>
      <c r="N8">
        <v>-174</v>
      </c>
      <c r="Q8">
        <v>2</v>
      </c>
      <c r="S8" t="s">
        <v>119</v>
      </c>
      <c r="T8">
        <v>-185</v>
      </c>
      <c r="U8">
        <v>75</v>
      </c>
    </row>
    <row r="9" spans="1:22" x14ac:dyDescent="0.25">
      <c r="A9" t="s">
        <v>72</v>
      </c>
      <c r="B9">
        <v>503</v>
      </c>
      <c r="C9">
        <v>0</v>
      </c>
      <c r="D9">
        <v>0</v>
      </c>
      <c r="E9">
        <v>0</v>
      </c>
      <c r="F9">
        <v>0</v>
      </c>
      <c r="G9">
        <v>2</v>
      </c>
      <c r="H9">
        <v>0</v>
      </c>
      <c r="I9">
        <v>50</v>
      </c>
      <c r="J9">
        <v>5</v>
      </c>
      <c r="K9" t="s">
        <v>63</v>
      </c>
      <c r="L9" t="s">
        <v>63</v>
      </c>
      <c r="M9">
        <f t="shared" si="0"/>
        <v>0</v>
      </c>
      <c r="T9">
        <v>50</v>
      </c>
    </row>
    <row r="10" spans="1:22" x14ac:dyDescent="0.25">
      <c r="A10" t="s">
        <v>73</v>
      </c>
      <c r="B10">
        <v>38</v>
      </c>
      <c r="C10">
        <v>0</v>
      </c>
      <c r="D10">
        <v>0</v>
      </c>
      <c r="E10">
        <v>1</v>
      </c>
      <c r="F10">
        <v>0</v>
      </c>
      <c r="G10">
        <v>3</v>
      </c>
      <c r="H10">
        <v>0</v>
      </c>
      <c r="I10">
        <v>0</v>
      </c>
      <c r="J10">
        <v>0</v>
      </c>
      <c r="K10" t="s">
        <v>63</v>
      </c>
      <c r="L10" t="s">
        <v>63</v>
      </c>
      <c r="M10">
        <f t="shared" si="0"/>
        <v>148</v>
      </c>
      <c r="N10">
        <v>448</v>
      </c>
      <c r="P10">
        <v>-1</v>
      </c>
      <c r="Q10">
        <v>2</v>
      </c>
      <c r="S10" t="s">
        <v>147</v>
      </c>
      <c r="T10">
        <v>-258</v>
      </c>
      <c r="U10">
        <v>301</v>
      </c>
      <c r="V10" t="s">
        <v>152</v>
      </c>
    </row>
    <row r="11" spans="1:22" x14ac:dyDescent="0.25">
      <c r="A11" t="s">
        <v>74</v>
      </c>
      <c r="B11">
        <v>726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63</v>
      </c>
      <c r="L11" t="s">
        <v>63</v>
      </c>
      <c r="M11">
        <f t="shared" si="0"/>
        <v>0</v>
      </c>
      <c r="T11">
        <v>-200</v>
      </c>
    </row>
    <row r="12" spans="1:22" x14ac:dyDescent="0.25">
      <c r="A12" t="s">
        <v>75</v>
      </c>
      <c r="B12">
        <v>678</v>
      </c>
      <c r="C12">
        <v>0</v>
      </c>
      <c r="D12">
        <v>0</v>
      </c>
      <c r="E12">
        <v>0</v>
      </c>
      <c r="F12">
        <v>0</v>
      </c>
      <c r="G12">
        <v>3</v>
      </c>
      <c r="H12">
        <v>0</v>
      </c>
      <c r="I12">
        <v>100</v>
      </c>
      <c r="J12">
        <v>60</v>
      </c>
      <c r="K12" t="s">
        <v>63</v>
      </c>
      <c r="L12" t="s">
        <v>63</v>
      </c>
      <c r="M12">
        <f t="shared" si="0"/>
        <v>493</v>
      </c>
      <c r="N12">
        <f>-56-68+68+56+212+68+189+56+68+100</f>
        <v>693</v>
      </c>
      <c r="P12">
        <v>-1</v>
      </c>
      <c r="Q12">
        <v>3</v>
      </c>
      <c r="S12" t="s">
        <v>146</v>
      </c>
      <c r="T12">
        <v>100</v>
      </c>
      <c r="U12">
        <v>-649</v>
      </c>
      <c r="V12" t="s">
        <v>153</v>
      </c>
    </row>
    <row r="13" spans="1:22" x14ac:dyDescent="0.25">
      <c r="A13" t="s">
        <v>76</v>
      </c>
      <c r="B13">
        <v>676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63</v>
      </c>
      <c r="L13" t="s">
        <v>77</v>
      </c>
      <c r="M13">
        <f t="shared" si="0"/>
        <v>-74</v>
      </c>
      <c r="N13">
        <v>-74</v>
      </c>
      <c r="O13">
        <v>-800</v>
      </c>
      <c r="Q13">
        <v>-2</v>
      </c>
      <c r="R13">
        <v>1</v>
      </c>
      <c r="S13" t="s">
        <v>125</v>
      </c>
      <c r="U13">
        <v>124</v>
      </c>
    </row>
    <row r="14" spans="1:22" x14ac:dyDescent="0.25">
      <c r="A14" t="s">
        <v>78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63</v>
      </c>
      <c r="L14" t="s">
        <v>63</v>
      </c>
      <c r="M14">
        <f t="shared" si="0"/>
        <v>0</v>
      </c>
    </row>
    <row r="15" spans="1:22" x14ac:dyDescent="0.25">
      <c r="A15" t="s">
        <v>79</v>
      </c>
      <c r="B15">
        <v>117</v>
      </c>
      <c r="C15">
        <v>0</v>
      </c>
      <c r="D15">
        <v>0</v>
      </c>
      <c r="E15">
        <v>1</v>
      </c>
      <c r="F15">
        <v>0</v>
      </c>
      <c r="G15">
        <v>3</v>
      </c>
      <c r="H15">
        <v>0</v>
      </c>
      <c r="I15">
        <v>0</v>
      </c>
      <c r="J15">
        <v>0</v>
      </c>
      <c r="K15" t="s">
        <v>63</v>
      </c>
      <c r="L15" t="s">
        <v>63</v>
      </c>
      <c r="M15">
        <f t="shared" si="0"/>
        <v>372</v>
      </c>
      <c r="N15">
        <v>372</v>
      </c>
      <c r="S15" t="s">
        <v>124</v>
      </c>
      <c r="U15" t="s">
        <v>154</v>
      </c>
      <c r="V15" t="s">
        <v>155</v>
      </c>
    </row>
    <row r="16" spans="1:22" x14ac:dyDescent="0.25">
      <c r="A16" t="s">
        <v>80</v>
      </c>
      <c r="B16">
        <v>442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 t="s">
        <v>63</v>
      </c>
      <c r="L16" t="s">
        <v>63</v>
      </c>
      <c r="M16">
        <f t="shared" si="0"/>
        <v>26</v>
      </c>
      <c r="N16">
        <v>-74</v>
      </c>
      <c r="Q16">
        <v>1</v>
      </c>
      <c r="S16" t="s">
        <v>121</v>
      </c>
      <c r="T16">
        <v>70</v>
      </c>
      <c r="V16" t="s">
        <v>156</v>
      </c>
    </row>
    <row r="17" spans="1:22" x14ac:dyDescent="0.25">
      <c r="A17" t="s">
        <v>81</v>
      </c>
      <c r="B17">
        <v>168</v>
      </c>
      <c r="C17">
        <v>0</v>
      </c>
      <c r="D17">
        <v>0</v>
      </c>
      <c r="E17">
        <v>0</v>
      </c>
      <c r="F17">
        <v>0</v>
      </c>
      <c r="G17">
        <v>3</v>
      </c>
      <c r="H17">
        <v>0</v>
      </c>
      <c r="I17">
        <v>100</v>
      </c>
      <c r="J17">
        <v>20</v>
      </c>
      <c r="K17" t="s">
        <v>63</v>
      </c>
      <c r="L17" t="s">
        <v>63</v>
      </c>
      <c r="M17">
        <f t="shared" si="0"/>
        <v>0</v>
      </c>
      <c r="T17">
        <v>100</v>
      </c>
      <c r="U17">
        <v>-1255</v>
      </c>
    </row>
    <row r="18" spans="1:22" x14ac:dyDescent="0.25">
      <c r="A18" t="s">
        <v>82</v>
      </c>
      <c r="B18">
        <v>326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 t="s">
        <v>63</v>
      </c>
      <c r="L18" t="s">
        <v>63</v>
      </c>
      <c r="M18">
        <f t="shared" si="0"/>
        <v>48</v>
      </c>
      <c r="N18">
        <v>448</v>
      </c>
      <c r="P18">
        <v>-1</v>
      </c>
      <c r="Q18">
        <v>1</v>
      </c>
      <c r="S18" t="s">
        <v>123</v>
      </c>
      <c r="U18">
        <v>-448</v>
      </c>
    </row>
    <row r="19" spans="1:22" x14ac:dyDescent="0.25">
      <c r="A19" t="s">
        <v>83</v>
      </c>
      <c r="B19">
        <v>260</v>
      </c>
      <c r="C19">
        <v>0</v>
      </c>
      <c r="D19">
        <v>0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 t="s">
        <v>63</v>
      </c>
      <c r="L19" t="s">
        <v>63</v>
      </c>
      <c r="M19">
        <f t="shared" si="0"/>
        <v>-16</v>
      </c>
      <c r="N19">
        <v>384</v>
      </c>
      <c r="P19">
        <v>-1</v>
      </c>
      <c r="Q19">
        <v>1</v>
      </c>
      <c r="S19" t="s">
        <v>122</v>
      </c>
      <c r="T19">
        <v>-100</v>
      </c>
      <c r="U19">
        <v>-384</v>
      </c>
      <c r="V19" t="s">
        <v>157</v>
      </c>
    </row>
    <row r="20" spans="1:22" x14ac:dyDescent="0.25">
      <c r="A20" t="s">
        <v>84</v>
      </c>
      <c r="B20">
        <v>586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63</v>
      </c>
      <c r="L20" t="s">
        <v>63</v>
      </c>
      <c r="M20">
        <f t="shared" si="0"/>
        <v>0</v>
      </c>
      <c r="T20">
        <v>-372</v>
      </c>
    </row>
    <row r="21" spans="1:22" x14ac:dyDescent="0.25">
      <c r="A21" t="s">
        <v>85</v>
      </c>
      <c r="B21">
        <v>783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63</v>
      </c>
      <c r="L21" t="s">
        <v>63</v>
      </c>
      <c r="M21">
        <f t="shared" si="0"/>
        <v>6</v>
      </c>
      <c r="N21">
        <v>500</v>
      </c>
      <c r="O21">
        <v>6</v>
      </c>
      <c r="P21">
        <v>-1</v>
      </c>
      <c r="S21" t="s">
        <v>140</v>
      </c>
      <c r="U21">
        <v>-500</v>
      </c>
    </row>
    <row r="22" spans="1:22" x14ac:dyDescent="0.25">
      <c r="A22" t="s">
        <v>86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63</v>
      </c>
      <c r="L22" t="s">
        <v>63</v>
      </c>
      <c r="M22">
        <f t="shared" si="0"/>
        <v>0</v>
      </c>
    </row>
    <row r="23" spans="1:22" x14ac:dyDescent="0.25">
      <c r="A23" t="s">
        <v>87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63</v>
      </c>
      <c r="L23" t="s">
        <v>63</v>
      </c>
      <c r="M23">
        <f t="shared" si="0"/>
        <v>0</v>
      </c>
    </row>
    <row r="24" spans="1:22" x14ac:dyDescent="0.25">
      <c r="A24" t="s">
        <v>88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63</v>
      </c>
      <c r="L24" t="s">
        <v>63</v>
      </c>
      <c r="M24">
        <f t="shared" si="0"/>
        <v>0</v>
      </c>
    </row>
    <row r="25" spans="1:22" x14ac:dyDescent="0.25">
      <c r="A25" t="s">
        <v>89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63</v>
      </c>
      <c r="L25" t="s">
        <v>63</v>
      </c>
      <c r="M25">
        <f t="shared" si="0"/>
        <v>0</v>
      </c>
    </row>
    <row r="26" spans="1:22" x14ac:dyDescent="0.25">
      <c r="A26" t="s">
        <v>90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63</v>
      </c>
      <c r="L26" t="s">
        <v>63</v>
      </c>
      <c r="M26">
        <f t="shared" si="0"/>
        <v>0</v>
      </c>
    </row>
    <row r="27" spans="1:22" x14ac:dyDescent="0.25">
      <c r="A27" t="s">
        <v>91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63</v>
      </c>
      <c r="L27" t="s">
        <v>63</v>
      </c>
      <c r="M27">
        <f t="shared" si="0"/>
        <v>0</v>
      </c>
    </row>
    <row r="28" spans="1:22" x14ac:dyDescent="0.25">
      <c r="A28" t="s">
        <v>92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t="s">
        <v>63</v>
      </c>
      <c r="L28" t="s">
        <v>63</v>
      </c>
      <c r="M28">
        <f t="shared" si="0"/>
        <v>0</v>
      </c>
    </row>
    <row r="29" spans="1:22" x14ac:dyDescent="0.25">
      <c r="A29" t="s">
        <v>93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63</v>
      </c>
      <c r="L29" t="s">
        <v>63</v>
      </c>
      <c r="M29">
        <f t="shared" si="0"/>
        <v>0</v>
      </c>
    </row>
    <row r="30" spans="1:22" x14ac:dyDescent="0.25">
      <c r="A30" t="s">
        <v>94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t="s">
        <v>63</v>
      </c>
      <c r="L30" t="s">
        <v>63</v>
      </c>
      <c r="M30">
        <f t="shared" si="0"/>
        <v>0</v>
      </c>
    </row>
    <row r="31" spans="1:22" x14ac:dyDescent="0.25">
      <c r="A31" t="s">
        <v>95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63</v>
      </c>
      <c r="L31" t="s">
        <v>63</v>
      </c>
      <c r="M31">
        <f t="shared" si="0"/>
        <v>0</v>
      </c>
      <c r="T31">
        <v>-800</v>
      </c>
    </row>
    <row r="32" spans="1:22" x14ac:dyDescent="0.25">
      <c r="A32" t="s">
        <v>96</v>
      </c>
      <c r="B32">
        <v>286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97</v>
      </c>
      <c r="L32" t="s">
        <v>63</v>
      </c>
      <c r="M32">
        <f t="shared" si="0"/>
        <v>0</v>
      </c>
    </row>
    <row r="33" spans="1:22" x14ac:dyDescent="0.25">
      <c r="A33" t="s">
        <v>98</v>
      </c>
      <c r="B33">
        <v>948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63</v>
      </c>
      <c r="L33" t="s">
        <v>63</v>
      </c>
      <c r="M33">
        <f t="shared" si="0"/>
        <v>154</v>
      </c>
      <c r="N33">
        <v>-246</v>
      </c>
      <c r="P33">
        <v>1</v>
      </c>
      <c r="Q33">
        <v>-1</v>
      </c>
      <c r="S33" t="s">
        <v>139</v>
      </c>
      <c r="U33">
        <v>240</v>
      </c>
    </row>
    <row r="34" spans="1:22" x14ac:dyDescent="0.25">
      <c r="A34" t="s">
        <v>99</v>
      </c>
      <c r="B34">
        <v>576</v>
      </c>
      <c r="C34">
        <v>0</v>
      </c>
      <c r="D34">
        <v>0</v>
      </c>
      <c r="E34">
        <v>2</v>
      </c>
      <c r="F34">
        <v>0</v>
      </c>
      <c r="G34">
        <v>3</v>
      </c>
      <c r="H34">
        <v>1</v>
      </c>
      <c r="I34">
        <v>0</v>
      </c>
      <c r="J34">
        <v>75</v>
      </c>
      <c r="K34" t="s">
        <v>63</v>
      </c>
      <c r="L34" t="s">
        <v>63</v>
      </c>
      <c r="M34">
        <f t="shared" si="0"/>
        <v>-143</v>
      </c>
      <c r="N34">
        <f>-288*2+54*2</f>
        <v>-468</v>
      </c>
      <c r="O34">
        <v>-75</v>
      </c>
      <c r="P34">
        <v>1</v>
      </c>
      <c r="Q34">
        <v>-1</v>
      </c>
      <c r="S34" t="s">
        <v>145</v>
      </c>
      <c r="V34" t="s">
        <v>158</v>
      </c>
    </row>
    <row r="35" spans="1:22" x14ac:dyDescent="0.25">
      <c r="A35" t="s">
        <v>100</v>
      </c>
      <c r="B35">
        <v>42</v>
      </c>
      <c r="C35">
        <v>0</v>
      </c>
      <c r="D35">
        <v>0</v>
      </c>
      <c r="E35">
        <v>0</v>
      </c>
      <c r="F35">
        <v>0</v>
      </c>
      <c r="G35">
        <v>8</v>
      </c>
      <c r="H35">
        <v>0</v>
      </c>
      <c r="I35">
        <v>0</v>
      </c>
      <c r="J35">
        <v>214</v>
      </c>
      <c r="K35" t="s">
        <v>63</v>
      </c>
      <c r="L35" t="s">
        <v>63</v>
      </c>
      <c r="M35">
        <f t="shared" si="0"/>
        <v>-814</v>
      </c>
      <c r="O35">
        <v>-214</v>
      </c>
      <c r="Q35">
        <v>4</v>
      </c>
      <c r="R35">
        <v>-1</v>
      </c>
      <c r="S35" t="s">
        <v>141</v>
      </c>
    </row>
    <row r="36" spans="1:22" x14ac:dyDescent="0.25">
      <c r="A36" t="s">
        <v>101</v>
      </c>
      <c r="B36">
        <v>664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63</v>
      </c>
      <c r="L36" t="s">
        <v>63</v>
      </c>
      <c r="M36">
        <f t="shared" si="0"/>
        <v>0</v>
      </c>
    </row>
    <row r="37" spans="1:22" x14ac:dyDescent="0.25">
      <c r="A37" t="s">
        <v>102</v>
      </c>
      <c r="B37">
        <v>758</v>
      </c>
      <c r="C37">
        <v>0</v>
      </c>
      <c r="D37">
        <v>0</v>
      </c>
      <c r="E37">
        <v>0</v>
      </c>
      <c r="F37">
        <v>0</v>
      </c>
      <c r="G37">
        <v>3</v>
      </c>
      <c r="H37">
        <v>0</v>
      </c>
      <c r="I37">
        <v>0</v>
      </c>
      <c r="J37">
        <v>0</v>
      </c>
      <c r="K37" t="s">
        <v>63</v>
      </c>
      <c r="L37" t="s">
        <v>63</v>
      </c>
      <c r="M37">
        <f>N37+O37+P37*500+Q37*100+R37*1000</f>
        <v>-132</v>
      </c>
      <c r="N37">
        <f>-496-264+264*2</f>
        <v>-232</v>
      </c>
      <c r="Q37">
        <v>1</v>
      </c>
      <c r="S37" t="s">
        <v>138</v>
      </c>
      <c r="T37">
        <v>-230</v>
      </c>
    </row>
    <row r="38" spans="1:22" x14ac:dyDescent="0.25">
      <c r="A38" t="s">
        <v>103</v>
      </c>
      <c r="B38">
        <v>42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 t="s">
        <v>63</v>
      </c>
      <c r="L38" t="s">
        <v>63</v>
      </c>
      <c r="M38">
        <f>N38+O38+P38*500+Q38*100+R38*1000</f>
        <v>622</v>
      </c>
      <c r="N38">
        <f>-42+264*2+494+42</f>
        <v>1022</v>
      </c>
      <c r="P38">
        <v>-1</v>
      </c>
      <c r="Q38">
        <v>1</v>
      </c>
      <c r="S38" t="s">
        <v>137</v>
      </c>
      <c r="U38">
        <v>-758</v>
      </c>
    </row>
    <row r="39" spans="1:22" x14ac:dyDescent="0.25">
      <c r="A39" t="s">
        <v>104</v>
      </c>
      <c r="B39">
        <v>536</v>
      </c>
      <c r="C39">
        <v>0</v>
      </c>
      <c r="D39">
        <v>0</v>
      </c>
      <c r="E39">
        <v>3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63</v>
      </c>
      <c r="L39" t="s">
        <v>63</v>
      </c>
      <c r="M39">
        <f t="shared" si="0"/>
        <v>0</v>
      </c>
      <c r="U39">
        <v>178.67</v>
      </c>
      <c r="V39" t="s">
        <v>159</v>
      </c>
    </row>
    <row r="40" spans="1:22" x14ac:dyDescent="0.25">
      <c r="A40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6</v>
      </c>
      <c r="H40">
        <v>0</v>
      </c>
      <c r="I40">
        <v>0</v>
      </c>
      <c r="J40">
        <v>0</v>
      </c>
      <c r="K40" t="s">
        <v>106</v>
      </c>
      <c r="L40" t="s">
        <v>63</v>
      </c>
      <c r="M40">
        <f t="shared" si="0"/>
        <v>0</v>
      </c>
    </row>
    <row r="41" spans="1:22" x14ac:dyDescent="0.25">
      <c r="A41" t="s">
        <v>107</v>
      </c>
      <c r="B41">
        <v>1326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63</v>
      </c>
      <c r="L41" t="s">
        <v>63</v>
      </c>
      <c r="M41">
        <f t="shared" si="0"/>
        <v>0</v>
      </c>
    </row>
    <row r="42" spans="1:22" x14ac:dyDescent="0.25">
      <c r="A42" t="s">
        <v>108</v>
      </c>
      <c r="B42">
        <v>15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63</v>
      </c>
      <c r="L42" t="s">
        <v>63</v>
      </c>
      <c r="M42">
        <f t="shared" si="0"/>
        <v>0</v>
      </c>
      <c r="S42" t="s">
        <v>144</v>
      </c>
    </row>
    <row r="43" spans="1:22" x14ac:dyDescent="0.25">
      <c r="A43" t="s">
        <v>109</v>
      </c>
      <c r="B43">
        <v>208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 t="s">
        <v>63</v>
      </c>
      <c r="L43" t="s">
        <v>63</v>
      </c>
      <c r="M43">
        <f t="shared" si="0"/>
        <v>0</v>
      </c>
      <c r="S43" t="s">
        <v>143</v>
      </c>
    </row>
    <row r="44" spans="1:22" x14ac:dyDescent="0.25">
      <c r="A44" t="s">
        <v>110</v>
      </c>
      <c r="B44">
        <v>0</v>
      </c>
      <c r="C44">
        <v>0</v>
      </c>
      <c r="D44">
        <v>0</v>
      </c>
      <c r="E44">
        <v>1</v>
      </c>
      <c r="F44">
        <v>0</v>
      </c>
      <c r="G44">
        <v>4</v>
      </c>
      <c r="H44">
        <v>0</v>
      </c>
      <c r="I44">
        <v>0</v>
      </c>
      <c r="J44">
        <v>0</v>
      </c>
      <c r="K44" t="s">
        <v>63</v>
      </c>
      <c r="L44" t="s">
        <v>111</v>
      </c>
      <c r="M44">
        <f t="shared" si="0"/>
        <v>0</v>
      </c>
      <c r="U44">
        <v>-1880</v>
      </c>
    </row>
    <row r="45" spans="1:22" x14ac:dyDescent="0.25">
      <c r="A45" t="s">
        <v>112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63</v>
      </c>
      <c r="L45" t="s">
        <v>63</v>
      </c>
      <c r="M45">
        <f t="shared" si="0"/>
        <v>0</v>
      </c>
    </row>
    <row r="46" spans="1:22" x14ac:dyDescent="0.25">
      <c r="A46" t="s">
        <v>113</v>
      </c>
      <c r="B46">
        <v>1200</v>
      </c>
      <c r="C46">
        <v>0</v>
      </c>
      <c r="D46">
        <v>0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63</v>
      </c>
      <c r="L46" t="s">
        <v>63</v>
      </c>
      <c r="M46">
        <f t="shared" si="0"/>
        <v>0</v>
      </c>
    </row>
    <row r="47" spans="1:22" x14ac:dyDescent="0.25">
      <c r="A47" t="s">
        <v>114</v>
      </c>
      <c r="B47">
        <v>106</v>
      </c>
      <c r="C47">
        <v>0</v>
      </c>
      <c r="D47">
        <v>0</v>
      </c>
      <c r="E47">
        <v>1</v>
      </c>
      <c r="F47">
        <v>0</v>
      </c>
      <c r="G47">
        <v>1</v>
      </c>
      <c r="H47">
        <v>0</v>
      </c>
      <c r="I47">
        <v>0</v>
      </c>
      <c r="J47">
        <v>0</v>
      </c>
      <c r="K47" t="s">
        <v>63</v>
      </c>
      <c r="L47" t="s">
        <v>63</v>
      </c>
      <c r="M47">
        <f t="shared" si="0"/>
        <v>394</v>
      </c>
      <c r="N47">
        <v>-6</v>
      </c>
      <c r="P47">
        <v>1</v>
      </c>
      <c r="Q47">
        <v>-1</v>
      </c>
      <c r="S47" t="s">
        <v>136</v>
      </c>
      <c r="U47">
        <v>6</v>
      </c>
    </row>
    <row r="48" spans="1:22" x14ac:dyDescent="0.25">
      <c r="A48" t="s">
        <v>115</v>
      </c>
      <c r="B48">
        <v>0</v>
      </c>
      <c r="C48">
        <v>0</v>
      </c>
      <c r="D48">
        <v>0</v>
      </c>
      <c r="E48">
        <v>1</v>
      </c>
      <c r="F48">
        <v>0</v>
      </c>
      <c r="G48">
        <v>2</v>
      </c>
      <c r="H48">
        <v>0</v>
      </c>
      <c r="I48">
        <v>0</v>
      </c>
      <c r="J48">
        <v>0</v>
      </c>
      <c r="K48" t="s">
        <v>63</v>
      </c>
      <c r="L48" t="s">
        <v>63</v>
      </c>
      <c r="M48">
        <f t="shared" si="0"/>
        <v>0</v>
      </c>
      <c r="S48" t="s">
        <v>135</v>
      </c>
    </row>
    <row r="49" spans="1:21" x14ac:dyDescent="0.25">
      <c r="A49" t="s">
        <v>116</v>
      </c>
      <c r="B49">
        <v>0</v>
      </c>
      <c r="C49">
        <v>0</v>
      </c>
      <c r="D49">
        <v>0</v>
      </c>
      <c r="E49">
        <v>1</v>
      </c>
      <c r="F49">
        <v>0</v>
      </c>
      <c r="G49">
        <v>1</v>
      </c>
      <c r="H49">
        <v>0</v>
      </c>
      <c r="I49">
        <v>0</v>
      </c>
      <c r="J49">
        <v>0</v>
      </c>
      <c r="K49" t="s">
        <v>63</v>
      </c>
      <c r="L49" t="s">
        <v>63</v>
      </c>
      <c r="M49">
        <f t="shared" si="0"/>
        <v>0</v>
      </c>
    </row>
    <row r="50" spans="1:21" x14ac:dyDescent="0.25">
      <c r="A50" t="s">
        <v>117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t="s">
        <v>63</v>
      </c>
      <c r="L50" t="s">
        <v>63</v>
      </c>
      <c r="M50">
        <f t="shared" si="0"/>
        <v>0</v>
      </c>
      <c r="S50" t="s">
        <v>142</v>
      </c>
      <c r="U50">
        <v>-750</v>
      </c>
    </row>
    <row r="51" spans="1:21" x14ac:dyDescent="0.25">
      <c r="A51" t="s">
        <v>118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63</v>
      </c>
      <c r="L51" t="s">
        <v>63</v>
      </c>
      <c r="M51">
        <f t="shared" si="0"/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汇总记录</vt:lpstr>
      <vt:lpstr>分层记录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 luo</cp:lastModifiedBy>
  <dcterms:modified xsi:type="dcterms:W3CDTF">2026-10-04T18:10:37Z</dcterms:modified>
</cp:coreProperties>
</file>